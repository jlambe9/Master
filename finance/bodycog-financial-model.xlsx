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ersonal Budget" sheetId="1" state="visible" r:id="rId1"/>
    <sheet name="2. Business P&amp;L" sheetId="2" state="visible" r:id="rId2"/>
    <sheet name="3. Tax &amp; Draw" sheetId="3" state="visible" r:id="rId3"/>
    <sheet name="4. The Bridge" sheetId="4" state="visible" r:id="rId4"/>
    <sheet name="5. Milestones" sheetId="5" state="visible" r:id="rId5"/>
    <sheet name="6. Proje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"/>
    <numFmt numFmtId="165" formatCode="£#,##0.00"/>
    <numFmt numFmtId="166" formatCode="0.0%"/>
    <numFmt numFmtId="167" formatCode="0 &quot;clients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7D3C98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666666"/>
      <sz val="10"/>
    </font>
    <font>
      <name val="Calibri"/>
      <b val="1"/>
      <color rgb="001E8449"/>
      <sz val="12"/>
    </font>
    <font>
      <name val="Calibri"/>
      <b val="1"/>
      <sz val="13"/>
    </font>
    <font>
      <name val="Calibri"/>
      <i val="1"/>
      <color rgb="00555555"/>
      <sz val="10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FFF9C4"/>
      </patternFill>
    </fill>
    <fill>
      <patternFill patternType="solid">
        <fgColor rgb="00FAD7A0"/>
      </patternFill>
    </fill>
    <fill>
      <patternFill patternType="solid">
        <fgColor rgb="00CA6F1E"/>
      </patternFill>
    </fill>
    <fill>
      <patternFill patternType="solid">
        <fgColor rgb="00F9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164" fontId="3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64" fontId="3" fillId="5" borderId="0" applyAlignment="1" pivotButton="0" quotePrefix="0" xfId="0">
      <alignment horizontal="right" vertical="center"/>
    </xf>
    <xf numFmtId="0" fontId="4" fillId="6" borderId="0" pivotButton="0" quotePrefix="0" xfId="0"/>
    <xf numFmtId="164" fontId="4" fillId="6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  <xf numFmtId="164" fontId="0" fillId="7" borderId="0" pivotButton="0" quotePrefix="0" xfId="0"/>
    <xf numFmtId="164" fontId="4" fillId="7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164" fontId="0" fillId="5" borderId="0" applyAlignment="1" pivotButton="0" quotePrefix="0" xfId="0">
      <alignment horizontal="right" vertical="center"/>
    </xf>
    <xf numFmtId="0" fontId="4" fillId="8" borderId="0" pivotButton="0" quotePrefix="0" xfId="0"/>
    <xf numFmtId="164" fontId="4" fillId="8" borderId="0" pivotButton="0" quotePrefix="0" xfId="0"/>
    <xf numFmtId="0" fontId="7" fillId="9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0" fontId="7" fillId="1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164" fontId="3" fillId="7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164" fontId="3" fillId="11" borderId="0" applyAlignment="1" pivotButton="0" quotePrefix="0" xfId="0">
      <alignment horizontal="right" vertical="center"/>
    </xf>
    <xf numFmtId="166" fontId="3" fillId="7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164" fontId="3" fillId="8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164" fontId="4" fillId="6" borderId="0" applyAlignment="1" pivotButton="0" quotePrefix="0" xfId="0">
      <alignment horizontal="right" vertical="center"/>
    </xf>
    <xf numFmtId="0" fontId="4" fillId="12" borderId="0" applyAlignment="1" pivotButton="0" quotePrefix="0" xfId="0">
      <alignment horizontal="left" vertical="center"/>
    </xf>
    <xf numFmtId="164" fontId="4" fillId="12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/>
    </xf>
    <xf numFmtId="164" fontId="3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164" fontId="9" fillId="6" borderId="0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166" fontId="3" fillId="12" borderId="0" applyAlignment="1" pivotButton="0" quotePrefix="0" xfId="0">
      <alignment horizontal="right" vertical="center"/>
    </xf>
    <xf numFmtId="0" fontId="3" fillId="12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7" fillId="1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left" vertical="center" wrapText="1"/>
    </xf>
    <xf numFmtId="0" fontId="3" fillId="7" borderId="0" pivotButton="0" quotePrefix="0" xfId="0"/>
    <xf numFmtId="164" fontId="3" fillId="7" borderId="0" pivotButton="0" quotePrefix="0" xfId="0"/>
    <xf numFmtId="0" fontId="11" fillId="11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164" fontId="4" fillId="7" borderId="0" applyAlignment="1" pivotButton="0" quotePrefix="0" xfId="0">
      <alignment horizontal="right" vertical="center"/>
    </xf>
    <xf numFmtId="164" fontId="3" fillId="12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/>
    </xf>
    <xf numFmtId="164" fontId="4" fillId="8" borderId="0" applyAlignment="1" pivotButton="0" quotePrefix="0" xfId="0">
      <alignment horizontal="right" vertical="center"/>
    </xf>
    <xf numFmtId="0" fontId="11" fillId="14" borderId="0" applyAlignment="1" pivotButton="0" quotePrefix="0" xfId="0">
      <alignment horizontal="left" vertical="center" wrapText="1"/>
    </xf>
    <xf numFmtId="164" fontId="4" fillId="5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left" vertical="center"/>
    </xf>
    <xf numFmtId="166" fontId="3" fillId="11" borderId="0" applyAlignment="1" pivotButton="0" quotePrefix="0" xfId="0">
      <alignment horizontal="right" vertical="center"/>
    </xf>
    <xf numFmtId="1" fontId="3" fillId="6" borderId="0" applyAlignment="1" pivotButton="0" quotePrefix="0" xfId="0">
      <alignment horizontal="right" vertical="center"/>
    </xf>
    <xf numFmtId="1" fontId="3" fillId="7" borderId="0" applyAlignment="1" pivotButton="0" quotePrefix="0" xfId="0">
      <alignment horizontal="right" vertical="center"/>
    </xf>
    <xf numFmtId="1" fontId="3" fillId="12" borderId="0" applyAlignment="1" pivotButton="0" quotePrefix="0" xfId="0">
      <alignment horizontal="right" vertical="center"/>
    </xf>
    <xf numFmtId="167" fontId="4" fillId="6" borderId="0" applyAlignment="1" pivotButton="0" quotePrefix="0" xfId="0">
      <alignment horizontal="right" vertical="center"/>
    </xf>
    <xf numFmtId="167" fontId="4" fillId="7" borderId="0" applyAlignment="1" pivotButton="0" quotePrefix="0" xfId="0">
      <alignment horizontal="right" vertical="center"/>
    </xf>
    <xf numFmtId="167" fontId="4" fillId="12" borderId="0" applyAlignment="1" pivotButton="0" quotePrefix="0" xfId="0">
      <alignment horizontal="right" vertical="center"/>
    </xf>
    <xf numFmtId="167" fontId="4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20" customWidth="1" min="4" max="4"/>
  </cols>
  <sheetData>
    <row r="1" ht="36" customHeight="1">
      <c r="A1" s="1" t="inlineStr">
        <is>
          <t>💸  PERSONAL BUDGET  |  Monthly Expenses</t>
        </is>
      </c>
    </row>
    <row r="3" ht="22" customHeight="1">
      <c r="A3" s="2" t="inlineStr">
        <is>
          <t>Expense</t>
        </is>
      </c>
      <c r="B3" s="2" t="inlineStr">
        <is>
          <t>Monthly (£)</t>
        </is>
      </c>
      <c r="C3" s="2" t="inlineStr">
        <is>
          <t>Annual (£)</t>
        </is>
      </c>
      <c r="D3" s="2" t="inlineStr">
        <is>
          <t>Notes</t>
        </is>
      </c>
    </row>
    <row r="4">
      <c r="A4" s="3" t="inlineStr">
        <is>
          <t>Rent</t>
        </is>
      </c>
      <c r="B4" s="4" t="n">
        <v>2650</v>
      </c>
      <c r="C4" s="4">
        <f>B4*12</f>
        <v/>
      </c>
      <c r="D4" s="3" t="inlineStr">
        <is>
          <t>Monthly rent</t>
        </is>
      </c>
    </row>
    <row r="5">
      <c r="A5" s="5" t="inlineStr">
        <is>
          <t>Council Tax</t>
        </is>
      </c>
      <c r="B5" s="6" t="n">
        <v>150</v>
      </c>
      <c r="C5" s="6">
        <f>B5*12</f>
        <v/>
      </c>
      <c r="D5" s="5" t="inlineStr"/>
    </row>
    <row r="6">
      <c r="A6" s="3" t="inlineStr">
        <is>
          <t>Utilities</t>
        </is>
      </c>
      <c r="B6" s="4" t="n">
        <v>250</v>
      </c>
      <c r="C6" s="4">
        <f>B6*12</f>
        <v/>
      </c>
      <c r="D6" s="3" t="inlineStr">
        <is>
          <t>Gas, electric, broadband</t>
        </is>
      </c>
    </row>
    <row r="7">
      <c r="A7" s="5" t="inlineStr">
        <is>
          <t>Food &amp; Groceries</t>
        </is>
      </c>
      <c r="B7" s="6" t="n">
        <v>300</v>
      </c>
      <c r="C7" s="6">
        <f>B7*12</f>
        <v/>
      </c>
      <c r="D7" s="5" t="inlineStr"/>
    </row>
    <row r="8">
      <c r="A8" s="3" t="inlineStr">
        <is>
          <t>Transport</t>
        </is>
      </c>
      <c r="B8" s="4" t="n">
        <v>100</v>
      </c>
      <c r="C8" s="4">
        <f>B8*12</f>
        <v/>
      </c>
      <c r="D8" s="3" t="inlineStr">
        <is>
          <t>Travel card / fuel</t>
        </is>
      </c>
    </row>
    <row r="9">
      <c r="A9" s="5" t="inlineStr">
        <is>
          <t>Gym</t>
        </is>
      </c>
      <c r="B9" s="6" t="n">
        <v>125</v>
      </c>
      <c r="C9" s="6">
        <f>B9*12</f>
        <v/>
      </c>
      <c r="D9" s="5" t="inlineStr"/>
    </row>
    <row r="10">
      <c r="A10" s="3" t="inlineStr">
        <is>
          <t>Supplements</t>
        </is>
      </c>
      <c r="B10" s="4" t="n">
        <v>75</v>
      </c>
      <c r="C10" s="4">
        <f>B10*12</f>
        <v/>
      </c>
      <c r="D10" s="3" t="inlineStr"/>
    </row>
    <row r="11">
      <c r="A11" s="5" t="inlineStr">
        <is>
          <t>Medication</t>
        </is>
      </c>
      <c r="B11" s="6" t="n">
        <v>50</v>
      </c>
      <c r="C11" s="6">
        <f>B11*12</f>
        <v/>
      </c>
      <c r="D11" s="5" t="inlineStr"/>
    </row>
    <row r="12">
      <c r="A12" s="3" t="inlineStr">
        <is>
          <t>Social</t>
        </is>
      </c>
      <c r="B12" s="4" t="n">
        <v>250</v>
      </c>
      <c r="C12" s="4">
        <f>B12*12</f>
        <v/>
      </c>
      <c r="D12" s="3" t="inlineStr">
        <is>
          <t>Eating out, entertainment</t>
        </is>
      </c>
    </row>
    <row r="13">
      <c r="A13" s="5" t="inlineStr">
        <is>
          <t>Travel</t>
        </is>
      </c>
      <c r="B13" s="6" t="n">
        <v>100</v>
      </c>
      <c r="C13" s="6">
        <f>B13*12</f>
        <v/>
      </c>
      <c r="D13" s="5" t="inlineStr">
        <is>
          <t>Holidays / weekends away</t>
        </is>
      </c>
    </row>
    <row r="14" ht="24" customHeight="1">
      <c r="A14" s="7" t="inlineStr">
        <is>
          <t>TOTAL MONTHLY</t>
        </is>
      </c>
      <c r="B14" s="8">
        <f>SUM(B4:B13)</f>
        <v/>
      </c>
      <c r="C14" s="8">
        <f>SUM(C4:C13)</f>
        <v/>
      </c>
      <c r="D14" s="7" t="n"/>
    </row>
    <row r="16" ht="20" customHeight="1">
      <c r="A16" s="9" t="inlineStr">
        <is>
          <t>⚡  Milestone 1 target: £4,050/mo personal income (salary + dividends after tax)</t>
        </is>
      </c>
    </row>
  </sheetData>
  <mergeCells count="2">
    <mergeCell ref="A1:D1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</cols>
  <sheetData>
    <row r="1" ht="36" customHeight="1">
      <c r="A1" s="1" t="inlineStr">
        <is>
          <t>📊  BUSINESS P&amp;L  |  Monthly Tracker 2026</t>
        </is>
      </c>
    </row>
    <row r="3" ht="22" customHeight="1">
      <c r="A3" s="10" t="inlineStr">
        <is>
          <t>Line Item</t>
        </is>
      </c>
      <c r="B3" s="10" t="inlineStr">
        <is>
          <t>Default/Notes</t>
        </is>
      </c>
      <c r="C3" s="10" t="inlineStr">
        <is>
          <t>Jan</t>
        </is>
      </c>
      <c r="D3" s="10" t="inlineStr">
        <is>
          <t>Feb</t>
        </is>
      </c>
      <c r="E3" s="10" t="inlineStr">
        <is>
          <t>Mar</t>
        </is>
      </c>
      <c r="F3" s="10" t="inlineStr">
        <is>
          <t>Apr</t>
        </is>
      </c>
      <c r="G3" s="10" t="inlineStr">
        <is>
          <t>May</t>
        </is>
      </c>
      <c r="H3" s="10" t="inlineStr">
        <is>
          <t>Jun</t>
        </is>
      </c>
      <c r="I3" s="10" t="inlineStr">
        <is>
          <t>Jul</t>
        </is>
      </c>
      <c r="J3" s="10" t="inlineStr">
        <is>
          <t>Aug</t>
        </is>
      </c>
      <c r="K3" s="10" t="inlineStr">
        <is>
          <t>Sep</t>
        </is>
      </c>
      <c r="L3" s="10" t="inlineStr">
        <is>
          <t>Oct</t>
        </is>
      </c>
      <c r="M3" s="10" t="inlineStr">
        <is>
          <t>Nov</t>
        </is>
      </c>
      <c r="N3" s="10" t="inlineStr">
        <is>
          <t>Dec</t>
        </is>
      </c>
      <c r="O3" s="10" t="inlineStr">
        <is>
          <t>YTD Total</t>
        </is>
      </c>
    </row>
    <row r="4" ht="22" customHeight="1">
      <c r="A4" s="11" t="inlineStr">
        <is>
          <t>Revenue</t>
        </is>
      </c>
      <c r="B4" s="12" t="inlineStr">
        <is>
          <t>← Enter monthly revenue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4">
        <f>SUM(C4:N4)</f>
        <v/>
      </c>
    </row>
    <row r="5">
      <c r="A5" s="15" t="inlineStr">
        <is>
          <t>BUSINESS COSTS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</row>
    <row r="6" ht="20" customHeight="1">
      <c r="A6" s="3" t="inlineStr">
        <is>
          <t>Website</t>
        </is>
      </c>
      <c r="B6" s="16" t="inlineStr">
        <is>
          <t>£20/mo — Hosting / domain</t>
        </is>
      </c>
      <c r="C6" s="17" t="n">
        <v>20</v>
      </c>
      <c r="D6" s="17" t="n">
        <v>20</v>
      </c>
      <c r="E6" s="17" t="n">
        <v>20</v>
      </c>
      <c r="F6" s="17" t="n">
        <v>20</v>
      </c>
      <c r="G6" s="17" t="n">
        <v>20</v>
      </c>
      <c r="H6" s="17" t="n">
        <v>20</v>
      </c>
      <c r="I6" s="17" t="n">
        <v>20</v>
      </c>
      <c r="J6" s="17" t="n">
        <v>20</v>
      </c>
      <c r="K6" s="17" t="n">
        <v>20</v>
      </c>
      <c r="L6" s="17" t="n">
        <v>20</v>
      </c>
      <c r="M6" s="17" t="n">
        <v>20</v>
      </c>
      <c r="N6" s="17" t="n">
        <v>20</v>
      </c>
      <c r="O6" s="17">
        <f>SUM(C6:N6)</f>
        <v/>
      </c>
    </row>
    <row r="7" ht="20" customHeight="1">
      <c r="A7" s="5" t="inlineStr">
        <is>
          <t>Email</t>
        </is>
      </c>
      <c r="B7" s="18" t="inlineStr">
        <is>
          <t>£20/mo — GSuite / Outlook</t>
        </is>
      </c>
      <c r="C7" s="19" t="n">
        <v>20</v>
      </c>
      <c r="D7" s="19" t="n">
        <v>20</v>
      </c>
      <c r="E7" s="19" t="n">
        <v>20</v>
      </c>
      <c r="F7" s="19" t="n">
        <v>20</v>
      </c>
      <c r="G7" s="19" t="n">
        <v>20</v>
      </c>
      <c r="H7" s="19" t="n">
        <v>20</v>
      </c>
      <c r="I7" s="19" t="n">
        <v>20</v>
      </c>
      <c r="J7" s="19" t="n">
        <v>20</v>
      </c>
      <c r="K7" s="19" t="n">
        <v>20</v>
      </c>
      <c r="L7" s="19" t="n">
        <v>20</v>
      </c>
      <c r="M7" s="19" t="n">
        <v>20</v>
      </c>
      <c r="N7" s="19" t="n">
        <v>20</v>
      </c>
      <c r="O7" s="19">
        <f>SUM(C7:N7)</f>
        <v/>
      </c>
    </row>
    <row r="8" ht="20" customHeight="1">
      <c r="A8" s="3" t="inlineStr">
        <is>
          <t>AI Tools</t>
        </is>
      </c>
      <c r="B8" s="16" t="inlineStr">
        <is>
          <t>£180/mo — ChatGPT Plus, Claude etc.</t>
        </is>
      </c>
      <c r="C8" s="17" t="n">
        <v>180</v>
      </c>
      <c r="D8" s="17" t="n">
        <v>180</v>
      </c>
      <c r="E8" s="17" t="n">
        <v>180</v>
      </c>
      <c r="F8" s="17" t="n">
        <v>180</v>
      </c>
      <c r="G8" s="17" t="n">
        <v>180</v>
      </c>
      <c r="H8" s="17" t="n">
        <v>180</v>
      </c>
      <c r="I8" s="17" t="n">
        <v>180</v>
      </c>
      <c r="J8" s="17" t="n">
        <v>180</v>
      </c>
      <c r="K8" s="17" t="n">
        <v>180</v>
      </c>
      <c r="L8" s="17" t="n">
        <v>180</v>
      </c>
      <c r="M8" s="17" t="n">
        <v>180</v>
      </c>
      <c r="N8" s="17" t="n">
        <v>180</v>
      </c>
      <c r="O8" s="17">
        <f>SUM(C8:N8)</f>
        <v/>
      </c>
    </row>
    <row r="9" ht="20" customHeight="1">
      <c r="A9" s="5" t="inlineStr">
        <is>
          <t>Expandi</t>
        </is>
      </c>
      <c r="B9" s="18" t="inlineStr">
        <is>
          <t>£75/mo — LinkedIn automation</t>
        </is>
      </c>
      <c r="C9" s="19" t="n">
        <v>75</v>
      </c>
      <c r="D9" s="19" t="n">
        <v>75</v>
      </c>
      <c r="E9" s="19" t="n">
        <v>75</v>
      </c>
      <c r="F9" s="19" t="n">
        <v>75</v>
      </c>
      <c r="G9" s="19" t="n">
        <v>75</v>
      </c>
      <c r="H9" s="19" t="n">
        <v>75</v>
      </c>
      <c r="I9" s="19" t="n">
        <v>75</v>
      </c>
      <c r="J9" s="19" t="n">
        <v>75</v>
      </c>
      <c r="K9" s="19" t="n">
        <v>75</v>
      </c>
      <c r="L9" s="19" t="n">
        <v>75</v>
      </c>
      <c r="M9" s="19" t="n">
        <v>75</v>
      </c>
      <c r="N9" s="19" t="n">
        <v>75</v>
      </c>
      <c r="O9" s="19">
        <f>SUM(C9:N9)</f>
        <v/>
      </c>
    </row>
    <row r="10" ht="20" customHeight="1">
      <c r="A10" s="3" t="inlineStr">
        <is>
          <t>PhantomBuster</t>
        </is>
      </c>
      <c r="B10" s="16" t="inlineStr">
        <is>
          <t>£75/mo — Web scraping / automation</t>
        </is>
      </c>
      <c r="C10" s="17" t="n">
        <v>75</v>
      </c>
      <c r="D10" s="17" t="n">
        <v>75</v>
      </c>
      <c r="E10" s="17" t="n">
        <v>75</v>
      </c>
      <c r="F10" s="17" t="n">
        <v>75</v>
      </c>
      <c r="G10" s="17" t="n">
        <v>75</v>
      </c>
      <c r="H10" s="17" t="n">
        <v>75</v>
      </c>
      <c r="I10" s="17" t="n">
        <v>75</v>
      </c>
      <c r="J10" s="17" t="n">
        <v>75</v>
      </c>
      <c r="K10" s="17" t="n">
        <v>75</v>
      </c>
      <c r="L10" s="17" t="n">
        <v>75</v>
      </c>
      <c r="M10" s="17" t="n">
        <v>75</v>
      </c>
      <c r="N10" s="17" t="n">
        <v>75</v>
      </c>
      <c r="O10" s="17">
        <f>SUM(C10:N10)</f>
        <v/>
      </c>
    </row>
    <row r="11" ht="20" customHeight="1">
      <c r="A11" s="5" t="inlineStr">
        <is>
          <t>Calendly</t>
        </is>
      </c>
      <c r="B11" s="18" t="inlineStr">
        <is>
          <t>£10/mo — Scheduling</t>
        </is>
      </c>
      <c r="C11" s="19" t="n">
        <v>10</v>
      </c>
      <c r="D11" s="19" t="n">
        <v>10</v>
      </c>
      <c r="E11" s="19" t="n">
        <v>10</v>
      </c>
      <c r="F11" s="19" t="n">
        <v>10</v>
      </c>
      <c r="G11" s="19" t="n">
        <v>10</v>
      </c>
      <c r="H11" s="19" t="n">
        <v>10</v>
      </c>
      <c r="I11" s="19" t="n">
        <v>10</v>
      </c>
      <c r="J11" s="19" t="n">
        <v>10</v>
      </c>
      <c r="K11" s="19" t="n">
        <v>10</v>
      </c>
      <c r="L11" s="19" t="n">
        <v>10</v>
      </c>
      <c r="M11" s="19" t="n">
        <v>10</v>
      </c>
      <c r="N11" s="19" t="n">
        <v>10</v>
      </c>
      <c r="O11" s="19">
        <f>SUM(C11:N11)</f>
        <v/>
      </c>
    </row>
    <row r="12" ht="20" customHeight="1">
      <c r="A12" s="3" t="inlineStr">
        <is>
          <t>LinkedIn Premium</t>
        </is>
      </c>
      <c r="B12" s="16" t="inlineStr">
        <is>
          <t>£100/mo — Sales Navigator</t>
        </is>
      </c>
      <c r="C12" s="17" t="n">
        <v>100</v>
      </c>
      <c r="D12" s="17" t="n">
        <v>100</v>
      </c>
      <c r="E12" s="17" t="n">
        <v>100</v>
      </c>
      <c r="F12" s="17" t="n">
        <v>100</v>
      </c>
      <c r="G12" s="17" t="n">
        <v>100</v>
      </c>
      <c r="H12" s="17" t="n">
        <v>100</v>
      </c>
      <c r="I12" s="17" t="n">
        <v>100</v>
      </c>
      <c r="J12" s="17" t="n">
        <v>100</v>
      </c>
      <c r="K12" s="17" t="n">
        <v>100</v>
      </c>
      <c r="L12" s="17" t="n">
        <v>100</v>
      </c>
      <c r="M12" s="17" t="n">
        <v>100</v>
      </c>
      <c r="N12" s="17" t="n">
        <v>100</v>
      </c>
      <c r="O12" s="17">
        <f>SUM(C12:N12)</f>
        <v/>
      </c>
    </row>
    <row r="13" ht="22" customHeight="1">
      <c r="A13" s="20" t="inlineStr">
        <is>
          <t>Total Business Costs</t>
        </is>
      </c>
      <c r="B13" s="20" t="inlineStr">
        <is>
          <t>£480/mo default</t>
        </is>
      </c>
      <c r="C13" s="21">
        <f>SUM(C6:C12)</f>
        <v/>
      </c>
      <c r="D13" s="21">
        <f>SUM(D6:D12)</f>
        <v/>
      </c>
      <c r="E13" s="21">
        <f>SUM(E6:E12)</f>
        <v/>
      </c>
      <c r="F13" s="21">
        <f>SUM(F6:F12)</f>
        <v/>
      </c>
      <c r="G13" s="21">
        <f>SUM(G6:G12)</f>
        <v/>
      </c>
      <c r="H13" s="21">
        <f>SUM(H6:H12)</f>
        <v/>
      </c>
      <c r="I13" s="21">
        <f>SUM(I6:I12)</f>
        <v/>
      </c>
      <c r="J13" s="21">
        <f>SUM(J6:J12)</f>
        <v/>
      </c>
      <c r="K13" s="21">
        <f>SUM(K6:K12)</f>
        <v/>
      </c>
      <c r="L13" s="21">
        <f>SUM(L6:L12)</f>
        <v/>
      </c>
      <c r="M13" s="21">
        <f>SUM(M6:M12)</f>
        <v/>
      </c>
      <c r="N13" s="21">
        <f>SUM(N6:N12)</f>
        <v/>
      </c>
      <c r="O13" s="21">
        <f>SUM(C13:N13)</f>
        <v/>
      </c>
    </row>
    <row r="14">
      <c r="A14" s="22" t="inlineStr">
        <is>
          <t>PROFIT &amp; TAX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</row>
    <row r="15" ht="22" customHeight="1">
      <c r="A15" s="7" t="inlineStr">
        <is>
          <t>Gross Profit (Revenue − Costs)</t>
        </is>
      </c>
      <c r="B15" s="7">
        <f>Revenue − Total Costs</f>
        <v/>
      </c>
      <c r="C15" s="8">
        <f>C4-C13</f>
        <v/>
      </c>
      <c r="D15" s="8">
        <f>D4-D13</f>
        <v/>
      </c>
      <c r="E15" s="8">
        <f>E4-E13</f>
        <v/>
      </c>
      <c r="F15" s="8">
        <f>F4-F13</f>
        <v/>
      </c>
      <c r="G15" s="8">
        <f>G4-G13</f>
        <v/>
      </c>
      <c r="H15" s="8">
        <f>H4-H13</f>
        <v/>
      </c>
      <c r="I15" s="8">
        <f>I4-I13</f>
        <v/>
      </c>
      <c r="J15" s="8">
        <f>J4-J13</f>
        <v/>
      </c>
      <c r="K15" s="8">
        <f>K4-K13</f>
        <v/>
      </c>
      <c r="L15" s="8">
        <f>L4-L13</f>
        <v/>
      </c>
      <c r="M15" s="8">
        <f>M4-M13</f>
        <v/>
      </c>
      <c r="N15" s="8">
        <f>N4-N13</f>
        <v/>
      </c>
      <c r="O15" s="8">
        <f>SUM(C15:N15)</f>
        <v/>
      </c>
    </row>
    <row r="16" ht="20" customHeight="1">
      <c r="A16" s="23" t="inlineStr">
        <is>
          <t>Corporation Tax (25%)</t>
        </is>
      </c>
      <c r="B16" s="23" t="inlineStr">
        <is>
          <t>25% of Gross Profit</t>
        </is>
      </c>
      <c r="C16" s="24">
        <f>IF(C15&gt;0,C15*0.25,0)</f>
        <v/>
      </c>
      <c r="D16" s="24">
        <f>IF(D15&gt;0,D15*0.25,0)</f>
        <v/>
      </c>
      <c r="E16" s="24">
        <f>IF(E15&gt;0,E15*0.25,0)</f>
        <v/>
      </c>
      <c r="F16" s="24">
        <f>IF(F15&gt;0,F15*0.25,0)</f>
        <v/>
      </c>
      <c r="G16" s="24">
        <f>IF(G15&gt;0,G15*0.25,0)</f>
        <v/>
      </c>
      <c r="H16" s="24">
        <f>IF(H15&gt;0,H15*0.25,0)</f>
        <v/>
      </c>
      <c r="I16" s="24">
        <f>IF(I15&gt;0,I15*0.25,0)</f>
        <v/>
      </c>
      <c r="J16" s="24">
        <f>IF(J15&gt;0,J15*0.25,0)</f>
        <v/>
      </c>
      <c r="K16" s="24">
        <f>IF(K15&gt;0,K15*0.25,0)</f>
        <v/>
      </c>
      <c r="L16" s="24">
        <f>IF(L15&gt;0,L15*0.25,0)</f>
        <v/>
      </c>
      <c r="M16" s="24">
        <f>IF(M15&gt;0,M15*0.25,0)</f>
        <v/>
      </c>
      <c r="N16" s="24">
        <f>IF(N15&gt;0,N15*0.25,0)</f>
        <v/>
      </c>
      <c r="O16" s="24">
        <f>SUM(C16:N16)</f>
        <v/>
      </c>
    </row>
    <row r="17" ht="22" customHeight="1">
      <c r="A17" s="7" t="inlineStr">
        <is>
          <t>Net Profit After Tax</t>
        </is>
      </c>
      <c r="B17" s="7" t="inlineStr">
        <is>
          <t>Gross Profit − Corp Tax</t>
        </is>
      </c>
      <c r="C17" s="8">
        <f>C15-C16</f>
        <v/>
      </c>
      <c r="D17" s="8">
        <f>D15-D16</f>
        <v/>
      </c>
      <c r="E17" s="8">
        <f>E15-E16</f>
        <v/>
      </c>
      <c r="F17" s="8">
        <f>F15-F16</f>
        <v/>
      </c>
      <c r="G17" s="8">
        <f>G15-G16</f>
        <v/>
      </c>
      <c r="H17" s="8">
        <f>H15-H16</f>
        <v/>
      </c>
      <c r="I17" s="8">
        <f>I15-I16</f>
        <v/>
      </c>
      <c r="J17" s="8">
        <f>J15-J16</f>
        <v/>
      </c>
      <c r="K17" s="8">
        <f>K15-K16</f>
        <v/>
      </c>
      <c r="L17" s="8">
        <f>L15-L16</f>
        <v/>
      </c>
      <c r="M17" s="8">
        <f>M15-M16</f>
        <v/>
      </c>
      <c r="N17" s="8">
        <f>N15-N16</f>
        <v/>
      </c>
      <c r="O17" s="8">
        <f>SUM(C17:N17)</f>
        <v/>
      </c>
    </row>
  </sheetData>
  <mergeCells count="3">
    <mergeCell ref="A1:O1"/>
    <mergeCell ref="A14:O14"/>
    <mergeCell ref="A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30" customWidth="1" min="4" max="4"/>
  </cols>
  <sheetData>
    <row r="1" ht="36" customHeight="1">
      <c r="A1" s="1" t="inlineStr">
        <is>
          <t>🏛️  TAX &amp; DRAW STRUCTURE  |  UK Ltd (Sole Director)</t>
        </is>
      </c>
    </row>
    <row r="3" ht="22" customHeight="1">
      <c r="A3" s="10" t="inlineStr">
        <is>
          <t>Line Item</t>
        </is>
      </c>
      <c r="B3" s="10" t="inlineStr">
        <is>
          <t>Annual (£)</t>
        </is>
      </c>
      <c r="C3" s="10" t="inlineStr">
        <is>
          <t>Monthly (£)</t>
        </is>
      </c>
      <c r="D3" s="10" t="inlineStr">
        <is>
          <t>Notes</t>
        </is>
      </c>
    </row>
    <row r="5">
      <c r="A5" s="25" t="inlineStr">
        <is>
          <t>INPUT ASSUMPTIONS  (yellow = adjust these)</t>
        </is>
      </c>
      <c r="B5" s="25" t="n"/>
      <c r="C5" s="25" t="n"/>
      <c r="D5" s="25" t="n"/>
    </row>
    <row r="6" ht="20" customHeight="1">
      <c r="A6" s="26" t="inlineStr">
        <is>
          <t>Annual Gross Revenue</t>
        </is>
      </c>
      <c r="B6" s="27" t="n">
        <v>60000</v>
      </c>
      <c r="C6" s="28">
        <f>B6/12</f>
        <v/>
      </c>
      <c r="D6" s="26" t="inlineStr">
        <is>
          <t>Total business revenue</t>
        </is>
      </c>
    </row>
    <row r="7" ht="20" customHeight="1">
      <c r="A7" s="26" t="inlineStr">
        <is>
          <t>Total Business Costs (pa)</t>
        </is>
      </c>
      <c r="B7" s="27" t="n">
        <v>5760</v>
      </c>
      <c r="C7" s="28">
        <f>B7/12</f>
        <v/>
      </c>
      <c r="D7" s="26" t="inlineStr">
        <is>
          <t>£480/mo × 12</t>
        </is>
      </c>
    </row>
    <row r="8" ht="20" customHeight="1">
      <c r="A8" s="26" t="inlineStr">
        <is>
          <t>Director Salary (annual)</t>
        </is>
      </c>
      <c r="B8" s="29" t="n">
        <v>12570</v>
      </c>
      <c r="C8" s="28">
        <f>B8/12</f>
        <v/>
      </c>
      <c r="D8" s="26" t="inlineStr">
        <is>
          <t>⬅️ ADJUSTABLE — default = personal allowance</t>
        </is>
      </c>
    </row>
    <row r="9" ht="20" customHeight="1">
      <c r="A9" s="26" t="inlineStr">
        <is>
          <t>NI Secondary Threshold</t>
        </is>
      </c>
      <c r="B9" s="27" t="n">
        <v>9100</v>
      </c>
      <c r="C9" s="28">
        <f>B9/12</f>
        <v/>
      </c>
      <c r="D9" s="26" t="inlineStr">
        <is>
          <t>2025/26 employer NI threshold</t>
        </is>
      </c>
    </row>
    <row r="10" ht="20" customHeight="1">
      <c r="A10" s="26" t="inlineStr">
        <is>
          <t>Employer NI Rate</t>
        </is>
      </c>
      <c r="B10" s="30" t="n">
        <v>0.1505</v>
      </c>
      <c r="C10" s="31" t="inlineStr"/>
      <c r="D10" s="26" t="inlineStr">
        <is>
          <t>15.05% on salary above threshold</t>
        </is>
      </c>
    </row>
    <row r="11" ht="20" customHeight="1">
      <c r="A11" s="26" t="inlineStr">
        <is>
          <t>Corporation Tax Rate</t>
        </is>
      </c>
      <c r="B11" s="30" t="n">
        <v>0.25</v>
      </c>
      <c r="C11" s="31" t="inlineStr"/>
      <c r="D11" s="26" t="inlineStr">
        <is>
          <t>25% main rate</t>
        </is>
      </c>
    </row>
    <row r="12" ht="20" customHeight="1">
      <c r="A12" s="26" t="inlineStr">
        <is>
          <t>Dividend Allowance</t>
        </is>
      </c>
      <c r="B12" s="27" t="n">
        <v>1000</v>
      </c>
      <c r="C12" s="28">
        <f>B12/12</f>
        <v/>
      </c>
      <c r="D12" s="26" t="inlineStr">
        <is>
          <t>Tax-free dividend allowance</t>
        </is>
      </c>
    </row>
    <row r="13" ht="20" customHeight="1">
      <c r="A13" s="26" t="inlineStr">
        <is>
          <t>Basic Rate Div Tax</t>
        </is>
      </c>
      <c r="B13" s="30" t="n">
        <v>0.08749999999999999</v>
      </c>
      <c r="C13" s="31" t="inlineStr"/>
      <c r="D13" s="26" t="inlineStr">
        <is>
          <t>8.75% on divs (basic rate band)</t>
        </is>
      </c>
    </row>
    <row r="14" ht="20" customHeight="1">
      <c r="A14" s="26" t="inlineStr">
        <is>
          <t>Higher Rate Div Tax</t>
        </is>
      </c>
      <c r="B14" s="30" t="n">
        <v>0.3375</v>
      </c>
      <c r="C14" s="31" t="inlineStr"/>
      <c r="D14" s="26" t="inlineStr">
        <is>
          <t>33.75% on divs (higher rate band)</t>
        </is>
      </c>
    </row>
    <row r="15" ht="20" customHeight="1">
      <c r="A15" s="26" t="inlineStr">
        <is>
          <t>Basic Rate Upper Limit</t>
        </is>
      </c>
      <c r="B15" s="27" t="n">
        <v>50270</v>
      </c>
      <c r="C15" s="28">
        <f>B15/12</f>
        <v/>
      </c>
      <c r="D15" s="26" t="inlineStr">
        <is>
          <t>Total income threshold (basic/higher rate)</t>
        </is>
      </c>
    </row>
    <row r="17" ht="22" customHeight="1">
      <c r="A17" s="15" t="inlineStr">
        <is>
          <t>TAX &amp; DRAW WATERFALL</t>
        </is>
      </c>
      <c r="B17" s="15" t="n"/>
      <c r="C17" s="15" t="n"/>
      <c r="D17" s="15" t="n"/>
    </row>
    <row r="18" ht="20" customHeight="1">
      <c r="A18" s="26" t="inlineStr">
        <is>
          <t>Gross Revenue</t>
        </is>
      </c>
      <c r="B18" s="27">
        <f>B6</f>
        <v/>
      </c>
      <c r="C18" s="27">
        <f>B18/12</f>
        <v/>
      </c>
      <c r="D18" s="26" t="inlineStr">
        <is>
          <t>Business revenue before anything</t>
        </is>
      </c>
    </row>
    <row r="19" ht="20" customHeight="1">
      <c r="A19" s="32" t="inlineStr">
        <is>
          <t>Less: Business Costs</t>
        </is>
      </c>
      <c r="B19" s="33">
        <f>-B7</f>
        <v/>
      </c>
      <c r="C19" s="33">
        <f>B19/12</f>
        <v/>
      </c>
      <c r="D19" s="32" t="inlineStr">
        <is>
          <t>Operating expenses</t>
        </is>
      </c>
    </row>
    <row r="20" ht="20" customHeight="1">
      <c r="A20" s="34">
        <f> Gross Profit</f>
        <v/>
      </c>
      <c r="B20" s="35">
        <f>B18+B19</f>
        <v/>
      </c>
      <c r="C20" s="35">
        <f>B20/12</f>
        <v/>
      </c>
      <c r="D20" s="34" t="inlineStr">
        <is>
          <t>Revenue after costs, before tax/pay</t>
        </is>
      </c>
    </row>
    <row r="21" ht="20" customHeight="1">
      <c r="A21" s="32" t="inlineStr">
        <is>
          <t>Less: Corporation Tax (25%)</t>
        </is>
      </c>
      <c r="B21" s="33">
        <f>IF(B20&gt;0,-B20*B11,0)</f>
        <v/>
      </c>
      <c r="C21" s="33">
        <f>B21/12</f>
        <v/>
      </c>
      <c r="D21" s="32" t="inlineStr">
        <is>
          <t>25% of gross profit</t>
        </is>
      </c>
    </row>
    <row r="22" ht="20" customHeight="1">
      <c r="A22" s="34">
        <f> Net Profit After Corp Tax</f>
        <v/>
      </c>
      <c r="B22" s="35">
        <f>B20+B21</f>
        <v/>
      </c>
      <c r="C22" s="35">
        <f>B22/12</f>
        <v/>
      </c>
      <c r="D22" s="34" t="inlineStr">
        <is>
          <t>What's left after corp tax</t>
        </is>
      </c>
    </row>
    <row r="23" ht="20" customHeight="1">
      <c r="A23" s="32" t="inlineStr">
        <is>
          <t>Less: Director Salary</t>
        </is>
      </c>
      <c r="B23" s="33">
        <f>-B8</f>
        <v/>
      </c>
      <c r="C23" s="33">
        <f>B23/12</f>
        <v/>
      </c>
      <c r="D23" s="32" t="inlineStr">
        <is>
          <t>Salary paid to director (deductible cost)</t>
        </is>
      </c>
    </row>
    <row r="24" ht="20" customHeight="1">
      <c r="A24" s="32" t="inlineStr">
        <is>
          <t>Less: Employer NI on Salary</t>
        </is>
      </c>
      <c r="B24" s="33">
        <f>IF(B8&gt;B9,-((B8-B9)*B10),0)</f>
        <v/>
      </c>
      <c r="C24" s="33">
        <f>B24/12</f>
        <v/>
      </c>
      <c r="D24" s="32" t="inlineStr">
        <is>
          <t>NI on salary above £9,100</t>
        </is>
      </c>
    </row>
    <row r="25" ht="20" customHeight="1">
      <c r="A25" s="34">
        <f> Profit Available for Divs</f>
        <v/>
      </c>
      <c r="B25" s="35">
        <f>B22+B23+B24</f>
        <v/>
      </c>
      <c r="C25" s="35">
        <f>B25/12</f>
        <v/>
      </c>
      <c r="D25" s="34" t="inlineStr">
        <is>
          <t>After salary &amp; NI deducted</t>
        </is>
      </c>
    </row>
    <row r="26" ht="20" customHeight="1"/>
    <row r="27" ht="20" customHeight="1">
      <c r="A27" s="26" t="inlineStr">
        <is>
          <t>Director Income: Salary</t>
        </is>
      </c>
      <c r="B27" s="27">
        <f>B8</f>
        <v/>
      </c>
      <c r="C27" s="27">
        <f>B27/12</f>
        <v/>
      </c>
      <c r="D27" s="26" t="inlineStr">
        <is>
          <t>Salary received</t>
        </is>
      </c>
    </row>
    <row r="28" ht="20" customHeight="1">
      <c r="A28" s="26" t="inlineStr">
        <is>
          <t>Director Income: Dividends</t>
        </is>
      </c>
      <c r="B28" s="27">
        <f>MAX(0,B25)</f>
        <v/>
      </c>
      <c r="C28" s="27">
        <f>B28/12</f>
        <v/>
      </c>
      <c r="D28" s="26" t="inlineStr">
        <is>
          <t>All available profit taken as dividends</t>
        </is>
      </c>
    </row>
    <row r="29" ht="20" customHeight="1">
      <c r="A29" s="36" t="inlineStr">
        <is>
          <t>Total Pre-Tax Income</t>
        </is>
      </c>
      <c r="B29" s="37">
        <f>B27+B28</f>
        <v/>
      </c>
      <c r="C29" s="37">
        <f>B29/12</f>
        <v/>
      </c>
      <c r="D29" s="36" t="inlineStr">
        <is>
          <t>Salary + dividends</t>
        </is>
      </c>
    </row>
    <row r="30" ht="20" customHeight="1"/>
    <row r="31" ht="20" customHeight="1">
      <c r="A31" s="32" t="inlineStr">
        <is>
          <t>Income Tax on Salary</t>
        </is>
      </c>
      <c r="B31" s="33">
        <f>0</f>
        <v/>
      </c>
      <c r="C31" s="33">
        <f>B31/12</f>
        <v/>
      </c>
      <c r="D31" s="32" t="inlineStr">
        <is>
          <t>£0 — salary = personal allowance</t>
        </is>
      </c>
    </row>
    <row r="32" ht="20" customHeight="1">
      <c r="A32" s="38" t="inlineStr">
        <is>
          <t>Dividend Tax: Free Allowance</t>
        </is>
      </c>
      <c r="B32" s="39">
        <f>-MIN(B28,B12)</f>
        <v/>
      </c>
      <c r="C32" s="39">
        <f>B32/12</f>
        <v/>
      </c>
      <c r="D32" s="38" t="inlineStr">
        <is>
          <t>First £1,000 tax free</t>
        </is>
      </c>
    </row>
    <row r="33" ht="20" customHeight="1">
      <c r="A33" s="5" t="inlineStr">
        <is>
          <t>Taxable Dividends</t>
        </is>
      </c>
      <c r="B33" s="6">
        <f>MAX(0,B28-B12)</f>
        <v/>
      </c>
      <c r="C33" s="6">
        <f>B33/12</f>
        <v/>
      </c>
      <c r="D33" s="5" t="inlineStr">
        <is>
          <t>Divs above £1,000 allowance</t>
        </is>
      </c>
    </row>
    <row r="34" ht="20" customHeight="1">
      <c r="A34" s="32" t="inlineStr">
        <is>
          <t>Div Tax (Basic Rate 8.75%)</t>
        </is>
      </c>
      <c r="B34" s="33">
        <f>IF(B29&lt;=B15,-MAX(0,B33)*B13,IF(B33&gt;0,-MIN(B33,B15-B27)*B13,0))</f>
        <v/>
      </c>
      <c r="C34" s="33">
        <f>B34/12</f>
        <v/>
      </c>
      <c r="D34" s="32" t="inlineStr">
        <is>
          <t>8.75% up to higher rate threshold</t>
        </is>
      </c>
    </row>
    <row r="35" ht="20" customHeight="1">
      <c r="A35" s="32" t="inlineStr">
        <is>
          <t>Div Tax (Higher Rate 33.75%)</t>
        </is>
      </c>
      <c r="B35" s="33">
        <f>IF(B29&gt;B15,-MAX(0,B29-B15)*B14,0)</f>
        <v/>
      </c>
      <c r="C35" s="33">
        <f>B35/12</f>
        <v/>
      </c>
      <c r="D35" s="32" t="inlineStr">
        <is>
          <t>33.75% above £50,270 total income</t>
        </is>
      </c>
    </row>
    <row r="36" ht="20" customHeight="1">
      <c r="A36" s="32" t="inlineStr">
        <is>
          <t>Total Tax</t>
        </is>
      </c>
      <c r="B36" s="33">
        <f>B31+B34+B35</f>
        <v/>
      </c>
      <c r="C36" s="33">
        <f>B36/12</f>
        <v/>
      </c>
      <c r="D36" s="32" t="inlineStr">
        <is>
          <t>Income tax + dividend tax</t>
        </is>
      </c>
    </row>
    <row r="37" ht="20" customHeight="1"/>
    <row r="38" ht="20" customHeight="1">
      <c r="A38" s="40" t="inlineStr">
        <is>
          <t>NET PERSONAL INCOME</t>
        </is>
      </c>
      <c r="B38" s="41">
        <f>B29+B36</f>
        <v/>
      </c>
      <c r="C38" s="41">
        <f>B38/12</f>
        <v/>
      </c>
      <c r="D38" s="40" t="inlineStr">
        <is>
          <t>Take-home after all taxes</t>
        </is>
      </c>
    </row>
    <row r="39" ht="20" customHeight="1">
      <c r="A39" s="42" t="inlineStr">
        <is>
          <t>Effective Tax Rate</t>
        </is>
      </c>
      <c r="B39" s="43">
        <f>IF(B29&gt;0,(B29-B38)/B29,0)</f>
        <v/>
      </c>
      <c r="C39" s="44" t="inlineStr"/>
      <c r="D39" s="42" t="inlineStr">
        <is>
          <t>Total taxes ÷ gross income</t>
        </is>
      </c>
    </row>
  </sheetData>
  <mergeCells count="3">
    <mergeCell ref="A1:D1"/>
    <mergeCell ref="A17:D17"/>
    <mergeCell ref="A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4" customWidth="1" min="4" max="4"/>
  </cols>
  <sheetData>
    <row r="1" ht="36" customHeight="1">
      <c r="A1" s="1" t="inlineStr">
        <is>
          <t>🌉  THE BRIDGE  |  Monthly Cash Flow</t>
        </is>
      </c>
    </row>
    <row r="3" ht="22" customHeight="1">
      <c r="A3" s="10" t="inlineStr">
        <is>
          <t>Line Item</t>
        </is>
      </c>
      <c r="B3" s="10" t="inlineStr">
        <is>
          <t>Amount (£)</t>
        </is>
      </c>
      <c r="C3" s="10" t="inlineStr">
        <is>
          <t>Monthly (£)</t>
        </is>
      </c>
      <c r="D3" s="10" t="inlineStr">
        <is>
          <t>Notes</t>
        </is>
      </c>
    </row>
    <row r="5">
      <c r="A5" s="15" t="inlineStr">
        <is>
          <t>FROM THE BUSINESS</t>
        </is>
      </c>
      <c r="B5" s="15" t="n"/>
      <c r="C5" s="15" t="n"/>
      <c r="D5" s="15" t="n"/>
    </row>
    <row r="6" ht="20" customHeight="1">
      <c r="A6" s="26" t="inlineStr">
        <is>
          <t>Business Net Profit (this month)</t>
        </is>
      </c>
      <c r="B6" s="27">
        <f>'2. Business P&amp;L'!O16</f>
        <v/>
      </c>
      <c r="C6" s="27">
        <f>B6/12</f>
        <v/>
      </c>
      <c r="D6" s="26" t="inlineStr">
        <is>
          <t>From Tab 2 — enter actual month</t>
        </is>
      </c>
    </row>
    <row r="7" ht="20" customHeight="1">
      <c r="A7" s="26" t="inlineStr">
        <is>
          <t>Director Salary (monthly)</t>
        </is>
      </c>
      <c r="B7" s="27">
        <f>-'3. Tax &amp; Draw'!C23</f>
        <v/>
      </c>
      <c r="C7" s="31" t="inlineStr"/>
      <c r="D7" s="26" t="inlineStr">
        <is>
          <t>From Tab 3 salary ÷ 12</t>
        </is>
      </c>
    </row>
    <row r="8" ht="20" customHeight="1">
      <c r="A8" s="26" t="inlineStr">
        <is>
          <t>Dividends Drawn (this month)</t>
        </is>
      </c>
      <c r="B8" s="27" t="n">
        <v>0</v>
      </c>
      <c r="C8" s="31" t="inlineStr"/>
      <c r="D8" s="26" t="inlineStr">
        <is>
          <t>⬅️ ADJUSTABLE — enter dividends drawn</t>
        </is>
      </c>
    </row>
    <row r="9" ht="20" customHeight="1">
      <c r="A9" s="5" t="inlineStr">
        <is>
          <t>Retained in Business</t>
        </is>
      </c>
      <c r="B9" s="6">
        <f>C6-B7-B8</f>
        <v/>
      </c>
      <c r="C9" s="45" t="inlineStr"/>
      <c r="D9" s="5" t="inlineStr">
        <is>
          <t>Remaining profit left in company</t>
        </is>
      </c>
    </row>
    <row r="11" ht="22" customHeight="1">
      <c r="A11" s="22" t="inlineStr">
        <is>
          <t>PERSONAL INCOME</t>
        </is>
      </c>
      <c r="B11" s="22" t="n"/>
      <c r="C11" s="22" t="n"/>
      <c r="D11" s="22" t="n"/>
    </row>
    <row r="12" ht="20" customHeight="1">
      <c r="A12" s="38" t="inlineStr">
        <is>
          <t>Salary Received</t>
        </is>
      </c>
      <c r="B12" s="39">
        <f>B7</f>
        <v/>
      </c>
      <c r="C12" s="46" t="inlineStr"/>
      <c r="D12" s="38" t="inlineStr"/>
    </row>
    <row r="13" ht="20" customHeight="1">
      <c r="A13" s="38" t="inlineStr">
        <is>
          <t>Dividends Received</t>
        </is>
      </c>
      <c r="B13" s="39">
        <f>B8</f>
        <v/>
      </c>
      <c r="C13" s="46" t="inlineStr"/>
      <c r="D13" s="38" t="inlineStr"/>
    </row>
    <row r="14" ht="20" customHeight="1">
      <c r="A14" s="32" t="inlineStr">
        <is>
          <t>Dividend Tax Due</t>
        </is>
      </c>
      <c r="B14" s="33">
        <f>IF(B8&gt;'3. Tax &amp; Draw'!B12,-MAX(0,B8-'3. Tax &amp; Draw'!B12)*'3. Tax &amp; Draw'!B13,0)</f>
        <v/>
      </c>
      <c r="C14" s="47" t="inlineStr"/>
      <c r="D14" s="32" t="inlineStr">
        <is>
          <t>Simplified: 8.75% on divs above £1k allowance</t>
        </is>
      </c>
    </row>
    <row r="15" ht="20" customHeight="1">
      <c r="A15" s="40" t="inlineStr">
        <is>
          <t>NET PERSONAL INCOME</t>
        </is>
      </c>
      <c r="B15" s="41">
        <f>B12+B13+B14</f>
        <v/>
      </c>
      <c r="C15" s="48" t="inlineStr"/>
      <c r="D15" s="40" t="inlineStr"/>
    </row>
    <row r="17" ht="22" customHeight="1">
      <c r="A17" s="49" t="inlineStr">
        <is>
          <t>MONTHLY ALLOCATION</t>
        </is>
      </c>
      <c r="B17" s="49" t="n"/>
      <c r="C17" s="49" t="n"/>
      <c r="D17" s="49" t="n"/>
    </row>
    <row r="18" ht="20" customHeight="1">
      <c r="A18" s="5" t="inlineStr">
        <is>
          <t>Living Expenses</t>
        </is>
      </c>
      <c r="B18" s="6" t="n">
        <v>4050</v>
      </c>
      <c r="C18" s="45" t="n"/>
      <c r="D18" s="5" t="inlineStr">
        <is>
          <t>From Tab 1 total</t>
        </is>
      </c>
    </row>
    <row r="19" ht="20" customHeight="1">
      <c r="A19" s="26" t="inlineStr">
        <is>
          <t>Emergency Fund (monthly)</t>
        </is>
      </c>
      <c r="B19" s="27" t="n">
        <v>200</v>
      </c>
      <c r="C19" s="31" t="n"/>
      <c r="D19" s="26" t="inlineStr">
        <is>
          <t>⬅️ ADJUSTABLE — target amount</t>
        </is>
      </c>
    </row>
    <row r="20" ht="20" customHeight="1">
      <c r="A20" s="26" t="inlineStr">
        <is>
          <t>House Deposit (monthly)</t>
        </is>
      </c>
      <c r="B20" s="27" t="n">
        <v>500</v>
      </c>
      <c r="C20" s="31" t="n"/>
      <c r="D20" s="26" t="inlineStr">
        <is>
          <t>⬅️ ADJUSTABLE — target amount</t>
        </is>
      </c>
    </row>
    <row r="21" ht="20" customHeight="1">
      <c r="A21" s="26" t="inlineStr">
        <is>
          <t>Investing (monthly)</t>
        </is>
      </c>
      <c r="B21" s="27" t="n">
        <v>200</v>
      </c>
      <c r="C21" s="31" t="n"/>
      <c r="D21" s="26" t="inlineStr">
        <is>
          <t>⬅️ ADJUSTABLE — ISA / stocks</t>
        </is>
      </c>
    </row>
    <row r="22" ht="20" customHeight="1">
      <c r="A22" s="26" t="inlineStr">
        <is>
          <t>Discretionary</t>
        </is>
      </c>
      <c r="B22" s="27" t="n">
        <v>200</v>
      </c>
      <c r="C22" s="31" t="n"/>
      <c r="D22" s="26" t="inlineStr">
        <is>
          <t>⬅️ ADJUSTABLE — fun money</t>
        </is>
      </c>
    </row>
    <row r="23" ht="22" customHeight="1">
      <c r="A23" s="20" t="inlineStr">
        <is>
          <t>Total Allocated</t>
        </is>
      </c>
      <c r="B23" s="21">
        <f>SUM(B18:B22)</f>
        <v/>
      </c>
      <c r="C23" s="20" t="n"/>
      <c r="D23" s="20" t="n"/>
    </row>
    <row r="25" ht="24" customHeight="1">
      <c r="A25" s="50" t="inlineStr">
        <is>
          <t>⚡  SURPLUS / DEFICIT</t>
        </is>
      </c>
      <c r="B25" s="50" t="n"/>
      <c r="C25" s="50" t="n"/>
      <c r="D25" s="50" t="n"/>
    </row>
    <row r="26" ht="24" customHeight="1">
      <c r="A26" s="7" t="inlineStr">
        <is>
          <t>Surplus / (Deficit)</t>
        </is>
      </c>
      <c r="B26" s="8">
        <f>B15-B23</f>
        <v/>
      </c>
      <c r="C26" s="7" t="n"/>
      <c r="D26" s="7" t="inlineStr">
        <is>
          <t>Positive = you have headroom. Negative = need more revenue.</t>
        </is>
      </c>
    </row>
  </sheetData>
  <mergeCells count="5">
    <mergeCell ref="A1:D1"/>
    <mergeCell ref="A17:D17"/>
    <mergeCell ref="A5:D5"/>
    <mergeCell ref="A25:D25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2" customWidth="1" min="4" max="4"/>
    <col width="26" customWidth="1" min="5" max="5"/>
  </cols>
  <sheetData>
    <row r="1" ht="36" customHeight="1">
      <c r="A1" s="1" t="inlineStr">
        <is>
          <t>🏆  MILESTONES  |  Revenue Needed to Hit Each Level</t>
        </is>
      </c>
    </row>
    <row r="2" ht="40" customHeight="1">
      <c r="A2" s="51" t="inlineStr">
        <is>
          <t>💡  KEY INSIGHT: £4,530 personal need ≠ £4,530 gross revenue. The business must earn MORE to deliver that net income after Corp Tax, Employer NI, and Dividend Tax.</t>
        </is>
      </c>
    </row>
    <row r="4" ht="22" customHeight="1">
      <c r="A4" s="15" t="inlineStr">
        <is>
          <t>SHARED INPUTS (from Tab 3)</t>
        </is>
      </c>
      <c r="B4" s="15" t="n"/>
      <c r="C4" s="15" t="n"/>
      <c r="D4" s="15" t="n"/>
      <c r="E4" s="15" t="n"/>
    </row>
    <row r="5" ht="20" customHeight="1">
      <c r="A5" s="52" t="inlineStr">
        <is>
          <t>Corp Tax Rate</t>
        </is>
      </c>
      <c r="B5" s="53">
        <f>'3. Tax &amp; Draw'!B11</f>
        <v/>
      </c>
      <c r="C5" s="12" t="n"/>
      <c r="D5" s="12" t="n"/>
      <c r="E5" s="12" t="n"/>
    </row>
    <row r="6" ht="20" customHeight="1">
      <c r="A6" s="52" t="inlineStr">
        <is>
          <t>Employer NI Rate</t>
        </is>
      </c>
      <c r="B6" s="53">
        <f>'3. Tax &amp; Draw'!B10</f>
        <v/>
      </c>
      <c r="C6" s="12" t="n"/>
      <c r="D6" s="12" t="n"/>
      <c r="E6" s="12" t="n"/>
    </row>
    <row r="7" ht="20" customHeight="1">
      <c r="A7" s="52" t="inlineStr">
        <is>
          <t>NI Threshold (annual)</t>
        </is>
      </c>
      <c r="B7" s="53">
        <f>'3. Tax &amp; Draw'!B9</f>
        <v/>
      </c>
      <c r="C7" s="12" t="n"/>
      <c r="D7" s="12" t="n"/>
      <c r="E7" s="12" t="n"/>
    </row>
    <row r="8" ht="20" customHeight="1">
      <c r="A8" s="52" t="inlineStr">
        <is>
          <t>Annual Salary</t>
        </is>
      </c>
      <c r="B8" s="53">
        <f>'3. Tax &amp; Draw'!B8</f>
        <v/>
      </c>
      <c r="C8" s="12" t="n"/>
      <c r="D8" s="12" t="n"/>
      <c r="E8" s="12" t="n"/>
    </row>
    <row r="9" ht="20" customHeight="1">
      <c r="A9" s="52" t="inlineStr">
        <is>
          <t>Monthly Biz Costs</t>
        </is>
      </c>
      <c r="B9" s="53" t="n">
        <v>480</v>
      </c>
      <c r="C9" s="12" t="n"/>
      <c r="D9" s="12" t="n"/>
      <c r="E9" s="12" t="n"/>
    </row>
    <row r="10" ht="20" customHeight="1">
      <c r="A10" s="52" t="inlineStr">
        <is>
          <t>Dividend Tax Rate</t>
        </is>
      </c>
      <c r="B10" s="53">
        <f>'3. Tax &amp; Draw'!B13</f>
        <v/>
      </c>
      <c r="C10" s="12" t="n"/>
      <c r="D10" s="12" t="n"/>
      <c r="E10" s="12" t="n"/>
    </row>
    <row r="11" ht="20" customHeight="1">
      <c r="A11" s="52" t="inlineStr">
        <is>
          <t>Dividend Allowance</t>
        </is>
      </c>
      <c r="B11" s="53">
        <f>'3. Tax &amp; Draw'!B12</f>
        <v/>
      </c>
      <c r="C11" s="12" t="n"/>
      <c r="D11" s="12" t="n"/>
      <c r="E11" s="12" t="n"/>
    </row>
    <row r="13" ht="24" customHeight="1">
      <c r="A13" s="10" t="inlineStr">
        <is>
          <t>Milestone</t>
        </is>
      </c>
      <c r="B13" s="10" t="inlineStr">
        <is>
          <t>Personal Need /mo</t>
        </is>
      </c>
      <c r="C13" s="10" t="inlineStr">
        <is>
          <t>Biz Costs /mo</t>
        </is>
      </c>
      <c r="D13" s="10" t="inlineStr">
        <is>
          <t>Gross Revenue Needed /mo</t>
        </is>
      </c>
      <c r="E13" s="10" t="inlineStr">
        <is>
          <t>What this unlocks</t>
        </is>
      </c>
    </row>
    <row r="14" ht="36" customHeight="1">
      <c r="A14" s="54" t="inlineStr">
        <is>
          <t>HOW GROSS REVENUE IS CALCULATED:  Personal need + biz costs = net business income needed.  Gross Revenue = Net Income ÷ (1 − Corp Tax Rate).  This covers corp tax.  Salary NI is baked into the cost.  Dividend tax reduces take-home.</t>
        </is>
      </c>
    </row>
    <row r="15" ht="30" customHeight="1">
      <c r="A15" s="34" t="inlineStr">
        <is>
          <t>M1 — Survival</t>
        </is>
      </c>
      <c r="B15" s="39" t="n">
        <v>4050</v>
      </c>
      <c r="C15" s="39">
        <f>'5. Milestones'!B9</f>
        <v/>
      </c>
      <c r="D15" s="35">
        <f>ROUND((B15+C15)/(1-$B$5),0)</f>
        <v/>
      </c>
      <c r="E15" s="38" t="inlineStr">
        <is>
          <t>Covers living + biz costs. Just above water.</t>
        </is>
      </c>
    </row>
    <row r="16" ht="30" customHeight="1">
      <c r="A16" s="55" t="inlineStr">
        <is>
          <t>M2 — Building</t>
        </is>
      </c>
      <c r="B16" s="27" t="n">
        <v>4250</v>
      </c>
      <c r="C16" s="27">
        <f>'5. Milestones'!B9</f>
        <v/>
      </c>
      <c r="D16" s="56">
        <f>ROUND((B16+C16)/(1-$B$5),0)</f>
        <v/>
      </c>
      <c r="E16" s="26" t="inlineStr">
        <is>
          <t>M1 + £200/mo emergency fund</t>
        </is>
      </c>
    </row>
    <row r="17" ht="30" customHeight="1">
      <c r="A17" s="36" t="inlineStr">
        <is>
          <t>M3 — House Deposit</t>
        </is>
      </c>
      <c r="B17" s="57" t="n">
        <v>4750</v>
      </c>
      <c r="C17" s="57">
        <f>'5. Milestones'!B9</f>
        <v/>
      </c>
      <c r="D17" s="37">
        <f>ROUND((B17+C17)/(1-$B$5),0)</f>
        <v/>
      </c>
      <c r="E17" s="42" t="inlineStr">
        <is>
          <t>M2 + £500/mo house deposit contribution</t>
        </is>
      </c>
    </row>
    <row r="18" ht="30" customHeight="1">
      <c r="A18" s="58" t="inlineStr">
        <is>
          <t>M4 — Thriving</t>
        </is>
      </c>
      <c r="B18" s="33" t="n">
        <v>5400</v>
      </c>
      <c r="C18" s="33">
        <f>'5. Milestones'!B9</f>
        <v/>
      </c>
      <c r="D18" s="59">
        <f>ROUND((B18+C18)/(1-$B$5),0)</f>
        <v/>
      </c>
      <c r="E18" s="32" t="inlineStr">
        <is>
          <t>M3 + investing + discretionary</t>
        </is>
      </c>
    </row>
    <row r="20" ht="36" customHeight="1">
      <c r="A20" s="60" t="inlineStr">
        <is>
          <t>📝  NOTE ON REVERSE CALC:  Formula used = (Personal Need + Biz Costs) ÷ (1 − Corp Tax Rate).  This is directionally accurate. For precision, account for Employer NI on salary and dividend tax at your marginal rate. Use Tab 3 for exact modelling at specific revenue levels.</t>
        </is>
      </c>
    </row>
    <row r="22" ht="22" customHeight="1">
      <c r="A22" s="50" t="inlineStr">
        <is>
          <t>MILESTONE TARGETS QUICK REFERENCE</t>
        </is>
      </c>
      <c r="B22" s="50" t="n"/>
      <c r="C22" s="50" t="n"/>
      <c r="D22" s="50" t="n"/>
      <c r="E22" s="50" t="n"/>
    </row>
    <row r="23" ht="22" customHeight="1">
      <c r="A23" s="5" t="inlineStr">
        <is>
          <t>M1 Survival</t>
        </is>
      </c>
      <c r="B23" s="61">
        <f>D15</f>
        <v/>
      </c>
      <c r="C23" s="5" t="inlineStr">
        <is>
          <t>/ mo gross revenue</t>
        </is>
      </c>
      <c r="D23" s="5" t="inlineStr">
        <is>
          <t>Just covering life and the business</t>
        </is>
      </c>
    </row>
    <row r="24" ht="22" customHeight="1">
      <c r="A24" s="3" t="inlineStr">
        <is>
          <t>M2 Building</t>
        </is>
      </c>
      <c r="B24" s="62">
        <f>D16</f>
        <v/>
      </c>
      <c r="C24" s="3" t="inlineStr">
        <is>
          <t>/ mo gross revenue</t>
        </is>
      </c>
      <c r="D24" s="3" t="inlineStr">
        <is>
          <t>Adding emergency savings buffer</t>
        </is>
      </c>
    </row>
    <row r="25" ht="22" customHeight="1">
      <c r="A25" s="5" t="inlineStr">
        <is>
          <t>M3 House Deposit</t>
        </is>
      </c>
      <c r="B25" s="61">
        <f>D17</f>
        <v/>
      </c>
      <c r="C25" s="5" t="inlineStr">
        <is>
          <t>/ mo gross revenue</t>
        </is>
      </c>
      <c r="D25" s="5" t="inlineStr">
        <is>
          <t>Saving towards £65k deposit</t>
        </is>
      </c>
    </row>
    <row r="26" ht="22" customHeight="1">
      <c r="A26" s="3" t="inlineStr">
        <is>
          <t>M4 Thriving</t>
        </is>
      </c>
      <c r="B26" s="62">
        <f>D18</f>
        <v/>
      </c>
      <c r="C26" s="3" t="inlineStr">
        <is>
          <t>/ mo gross revenue</t>
        </is>
      </c>
      <c r="D26" s="3" t="inlineStr">
        <is>
          <t>Investing + discretionary on top</t>
        </is>
      </c>
    </row>
  </sheetData>
  <mergeCells count="6">
    <mergeCell ref="A4:E4"/>
    <mergeCell ref="A20:E20"/>
    <mergeCell ref="A2:E2"/>
    <mergeCell ref="A1:E1"/>
    <mergeCell ref="A14:E14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6" customWidth="1" min="5" max="5"/>
  </cols>
  <sheetData>
    <row r="1" ht="36" customHeight="1">
      <c r="A1" s="1" t="inlineStr">
        <is>
          <t>📈  PROJECTIONS  |  Revenue Scenarios</t>
        </is>
      </c>
    </row>
    <row r="3" ht="22" customHeight="1">
      <c r="A3" s="25" t="inlineStr">
        <is>
          <t>INPUT ASSUMPTIONS  (yellow = adjust these)</t>
        </is>
      </c>
      <c r="B3" s="25" t="n"/>
      <c r="C3" s="25" t="n"/>
      <c r="D3" s="25" t="n"/>
      <c r="E3" s="25" t="n"/>
    </row>
    <row r="4" ht="20" customHeight="1">
      <c r="A4" s="26" t="inlineStr">
        <is>
          <t>Price per Client — Current (£297)</t>
        </is>
      </c>
      <c r="B4" s="29" t="n">
        <v>297</v>
      </c>
      <c r="C4" s="63" t="n"/>
      <c r="D4" s="63" t="n"/>
      <c r="E4" s="64" t="inlineStr">
        <is>
          <t>Founding member price</t>
        </is>
      </c>
    </row>
    <row r="5" ht="20" customHeight="1">
      <c r="A5" s="26" t="inlineStr">
        <is>
          <t>Price per Client — Post-Founders (£597)</t>
        </is>
      </c>
      <c r="B5" s="29" t="n">
        <v>597</v>
      </c>
      <c r="C5" s="63" t="n"/>
      <c r="D5" s="63" t="n"/>
      <c r="E5" s="64" t="inlineStr">
        <is>
          <t>Full price after founder cohort</t>
        </is>
      </c>
    </row>
    <row r="6" ht="20" customHeight="1">
      <c r="A6" s="26" t="inlineStr">
        <is>
          <t>Price per Client — Scaled</t>
        </is>
      </c>
      <c r="B6" s="29" t="n">
        <v>997</v>
      </c>
      <c r="C6" s="63" t="n"/>
      <c r="D6" s="63" t="n"/>
      <c r="E6" s="64" t="inlineStr">
        <is>
          <t>Premium / group programme price</t>
        </is>
      </c>
    </row>
    <row r="7" ht="20" customHeight="1">
      <c r="A7" s="26" t="inlineStr">
        <is>
          <t>Show Rate (% of leads who show)</t>
        </is>
      </c>
      <c r="B7" s="65" t="n">
        <v>0.6</v>
      </c>
      <c r="C7" s="63" t="n"/>
      <c r="D7" s="63" t="n"/>
      <c r="E7" s="64" t="inlineStr">
        <is>
          <t>60% default</t>
        </is>
      </c>
    </row>
    <row r="8" ht="20" customHeight="1">
      <c r="A8" s="26" t="inlineStr">
        <is>
          <t>Close Rate (% of shows who buy)</t>
        </is>
      </c>
      <c r="B8" s="65" t="n">
        <v>0.33</v>
      </c>
      <c r="C8" s="63" t="n"/>
      <c r="D8" s="63" t="n"/>
      <c r="E8" s="64" t="inlineStr">
        <is>
          <t>33% default</t>
        </is>
      </c>
    </row>
    <row r="9" ht="20" customHeight="1">
      <c r="A9" s="26" t="inlineStr">
        <is>
          <t>Monthly Outreach Volume (leads)</t>
        </is>
      </c>
      <c r="B9" s="29" t="n">
        <v>100</v>
      </c>
      <c r="C9" s="63" t="n"/>
      <c r="D9" s="63" t="n"/>
      <c r="E9" s="64" t="inlineStr">
        <is>
          <t>Leads contacted per month</t>
        </is>
      </c>
    </row>
    <row r="10" ht="20" customHeight="1">
      <c r="A10" s="38" t="inlineStr">
        <is>
          <t>Clients / Month (shows × close rate)</t>
        </is>
      </c>
      <c r="B10" s="66">
        <f>ROUND(B9*B7*B8,0)</f>
        <v/>
      </c>
      <c r="C10" s="46" t="n"/>
      <c r="D10" s="46" t="n"/>
      <c r="E10" s="38" t="inlineStr">
        <is>
          <t>Calculated from outreach × show rate × close rate</t>
        </is>
      </c>
    </row>
    <row r="12" ht="22" customHeight="1">
      <c r="A12" s="10" t="inlineStr">
        <is>
          <t>Scenario</t>
        </is>
      </c>
      <c r="B12" s="10" t="inlineStr">
        <is>
          <t>Clients/mo</t>
        </is>
      </c>
      <c r="C12" s="10" t="inlineStr">
        <is>
          <t>Monthly Revenue</t>
        </is>
      </c>
      <c r="D12" s="10" t="inlineStr">
        <is>
          <t>Annual Revenue</t>
        </is>
      </c>
      <c r="E12" s="10" t="inlineStr">
        <is>
          <t>Milestone Hit</t>
        </is>
      </c>
    </row>
    <row r="13" ht="24" customHeight="1">
      <c r="A13" s="38" t="inlineStr">
        <is>
          <t>Current — Founders (£297)</t>
        </is>
      </c>
      <c r="B13" s="66">
        <f>B10</f>
        <v/>
      </c>
      <c r="C13" s="35">
        <f>C13*B4</f>
        <v/>
      </c>
      <c r="D13" s="35">
        <f>C13*12</f>
        <v/>
      </c>
      <c r="E13" s="38">
        <f>IF(C13&gt;='5. Milestones'!D18,"M4 — Thriving 🚀",IF(C13&gt;='5. Milestones'!D17,"M3 — House Deposit 🏠",IF(C13&gt;='5. Milestones'!D16,"M2 — Building 📈",IF(C13&gt;='5. Milestones'!D15,"M1 — Survival ✅","Below M1 ⚠️"))))</f>
        <v/>
      </c>
    </row>
    <row r="14" ht="24" customHeight="1">
      <c r="A14" s="38" t="inlineStr">
        <is>
          <t>Stretch — Founders (£297)</t>
        </is>
      </c>
      <c r="B14" s="66">
        <f>B10*1.5</f>
        <v/>
      </c>
      <c r="C14" s="35">
        <f>C14*B4</f>
        <v/>
      </c>
      <c r="D14" s="35">
        <f>C14*12</f>
        <v/>
      </c>
      <c r="E14" s="38">
        <f>IF(C14&gt;='5. Milestones'!D18,"M4 — Thriving 🚀",IF(C14&gt;='5. Milestones'!D17,"M3 — House Deposit 🏠",IF(C14&gt;='5. Milestones'!D16,"M2 — Building 📈",IF(C14&gt;='5. Milestones'!D15,"M1 — Survival ✅","Below M1 ⚠️"))))</f>
        <v/>
      </c>
    </row>
    <row r="15" ht="24" customHeight="1">
      <c r="A15" s="26" t="inlineStr">
        <is>
          <t>Post-Founders (£597)</t>
        </is>
      </c>
      <c r="B15" s="67">
        <f>B10</f>
        <v/>
      </c>
      <c r="C15" s="56">
        <f>C15*B5</f>
        <v/>
      </c>
      <c r="D15" s="56">
        <f>C15*12</f>
        <v/>
      </c>
      <c r="E15" s="26">
        <f>IF(C15&gt;='5. Milestones'!D18,"M4 — Thriving 🚀",IF(C15&gt;='5. Milestones'!D17,"M3 — House Deposit 🏠",IF(C15&gt;='5. Milestones'!D16,"M2 — Building 📈",IF(C15&gt;='5. Milestones'!D15,"M1 — Survival ✅","Below M1 ⚠️"))))</f>
        <v/>
      </c>
    </row>
    <row r="16" ht="24" customHeight="1">
      <c r="A16" s="26" t="inlineStr">
        <is>
          <t>Post-Founders Stretch</t>
        </is>
      </c>
      <c r="B16" s="67">
        <f>B10*1.5</f>
        <v/>
      </c>
      <c r="C16" s="56">
        <f>C16*B5</f>
        <v/>
      </c>
      <c r="D16" s="56">
        <f>C16*12</f>
        <v/>
      </c>
      <c r="E16" s="26">
        <f>IF(C16&gt;='5. Milestones'!D18,"M4 — Thriving 🚀",IF(C16&gt;='5. Milestones'!D17,"M3 — House Deposit 🏠",IF(C16&gt;='5. Milestones'!D16,"M2 — Building 📈",IF(C16&gt;='5. Milestones'!D15,"M1 — Survival ✅","Below M1 ⚠️"))))</f>
        <v/>
      </c>
    </row>
    <row r="17" ht="24" customHeight="1">
      <c r="A17" s="42" t="inlineStr">
        <is>
          <t>Scaled (£997)</t>
        </is>
      </c>
      <c r="B17" s="68">
        <f>B10</f>
        <v/>
      </c>
      <c r="C17" s="37">
        <f>C17*B6</f>
        <v/>
      </c>
      <c r="D17" s="37">
        <f>C17*12</f>
        <v/>
      </c>
      <c r="E17" s="42">
        <f>IF(C17&gt;='5. Milestones'!D18,"M4 — Thriving 🚀",IF(C17&gt;='5. Milestones'!D17,"M3 — House Deposit 🏠",IF(C17&gt;='5. Milestones'!D16,"M2 — Building 📈",IF(C17&gt;='5. Milestones'!D15,"M1 — Survival ✅","Below M1 ⚠️"))))</f>
        <v/>
      </c>
    </row>
    <row r="18" ht="24" customHeight="1">
      <c r="A18" s="42" t="inlineStr">
        <is>
          <t>Scaled Stretch</t>
        </is>
      </c>
      <c r="B18" s="68">
        <f>B10*2</f>
        <v/>
      </c>
      <c r="C18" s="37">
        <f>C18*B6</f>
        <v/>
      </c>
      <c r="D18" s="37">
        <f>C18*12</f>
        <v/>
      </c>
      <c r="E18" s="42">
        <f>IF(C18&gt;='5. Milestones'!D18,"M4 — Thriving 🚀",IF(C18&gt;='5. Milestones'!D17,"M3 — House Deposit 🏠",IF(C18&gt;='5. Milestones'!D16,"M2 — Building 📈",IF(C18&gt;='5. Milestones'!D15,"M1 — Survival ✅","Below M1 ⚠️"))))</f>
        <v/>
      </c>
    </row>
    <row r="20" ht="22" customHeight="1">
      <c r="A20" s="50" t="inlineStr">
        <is>
          <t>MILESTONE BREAK-EVEN: Clients Needed per Price Point</t>
        </is>
      </c>
      <c r="B20" s="50" t="n"/>
      <c r="C20" s="50" t="n"/>
      <c r="D20" s="50" t="n"/>
      <c r="E20" s="50" t="n"/>
    </row>
    <row r="21" ht="22" customHeight="1">
      <c r="A21" s="10" t="inlineStr">
        <is>
          <t>Milestone</t>
        </is>
      </c>
      <c r="B21" s="10" t="inlineStr">
        <is>
          <t>Monthly Revenue Target</t>
        </is>
      </c>
      <c r="C21" s="10" t="inlineStr">
        <is>
          <t>@ £297/client</t>
        </is>
      </c>
      <c r="D21" s="10" t="inlineStr">
        <is>
          <t>@ £597/client</t>
        </is>
      </c>
      <c r="E21" s="10" t="inlineStr">
        <is>
          <t>@ £997/client</t>
        </is>
      </c>
    </row>
    <row r="22" ht="22" customHeight="1">
      <c r="A22" s="38" t="inlineStr">
        <is>
          <t>M1 — Survival</t>
        </is>
      </c>
      <c r="B22" s="39">
        <f>'5. Milestones'!D15</f>
        <v/>
      </c>
      <c r="C22" s="69">
        <f>CEILING(B22/B4,1)</f>
        <v/>
      </c>
      <c r="D22" s="69">
        <f>CEILING(B22/B5,1)</f>
        <v/>
      </c>
      <c r="E22" s="69">
        <f>CEILING(B22/B6,1)</f>
        <v/>
      </c>
    </row>
    <row r="23" ht="22" customHeight="1">
      <c r="A23" s="26" t="inlineStr">
        <is>
          <t>M2 — Building</t>
        </is>
      </c>
      <c r="B23" s="27">
        <f>'5. Milestones'!D16</f>
        <v/>
      </c>
      <c r="C23" s="70">
        <f>CEILING(B23/B4,1)</f>
        <v/>
      </c>
      <c r="D23" s="70">
        <f>CEILING(B23/B5,1)</f>
        <v/>
      </c>
      <c r="E23" s="70">
        <f>CEILING(B23/B6,1)</f>
        <v/>
      </c>
    </row>
    <row r="24" ht="22" customHeight="1">
      <c r="A24" s="42" t="inlineStr">
        <is>
          <t>M3 — House Deposit</t>
        </is>
      </c>
      <c r="B24" s="57">
        <f>'5. Milestones'!D17</f>
        <v/>
      </c>
      <c r="C24" s="71">
        <f>CEILING(B24/B4,1)</f>
        <v/>
      </c>
      <c r="D24" s="71">
        <f>CEILING(B24/B5,1)</f>
        <v/>
      </c>
      <c r="E24" s="71">
        <f>CEILING(B24/B6,1)</f>
        <v/>
      </c>
    </row>
    <row r="25" ht="22" customHeight="1">
      <c r="A25" s="32" t="inlineStr">
        <is>
          <t>M4 — Thriving</t>
        </is>
      </c>
      <c r="B25" s="33">
        <f>'5. Milestones'!D18</f>
        <v/>
      </c>
      <c r="C25" s="72">
        <f>CEILING(B25/B4,1)</f>
        <v/>
      </c>
      <c r="D25" s="72">
        <f>CEILING(B25/B5,1)</f>
        <v/>
      </c>
      <c r="E25" s="72">
        <f>CEILING(B25/B6,1)</f>
        <v/>
      </c>
    </row>
  </sheetData>
  <mergeCells count="3">
    <mergeCell ref="A1:E1"/>
    <mergeCell ref="A20:E2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2026-02-22T19:38:17Z</dcterms:created>
  <dcterms:modified xsi:type="dcterms:W3CDTF">2026-02-22T19:38:17Z</dcterms:modified>
</cp:coreProperties>
</file>